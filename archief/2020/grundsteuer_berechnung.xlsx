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OSF\donsbruggen\2020\"/>
    </mc:Choice>
  </mc:AlternateContent>
  <xr:revisionPtr revIDLastSave="0" documentId="13_ncr:1_{F463DDC4-AD87-45BF-BDAD-22206FF864FE}" xr6:coauthVersionLast="46" xr6:coauthVersionMax="46" xr10:uidLastSave="{00000000-0000-0000-0000-000000000000}"/>
  <bookViews>
    <workbookView xWindow="22932" yWindow="-108" windowWidth="23256" windowHeight="12576" xr2:uid="{5D92934F-44FE-405D-B217-553C10D69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1" l="1"/>
  <c r="E44" i="1"/>
  <c r="G44" i="1" s="1"/>
  <c r="A44" i="1"/>
  <c r="E19" i="1"/>
  <c r="E20" i="1"/>
  <c r="E21" i="1"/>
  <c r="E22" i="1"/>
  <c r="E23" i="1"/>
  <c r="E24" i="1"/>
  <c r="E25" i="1"/>
  <c r="G22" i="1" s="1"/>
  <c r="E26" i="1"/>
  <c r="C28" i="1"/>
  <c r="D28" i="1"/>
  <c r="E39" i="1"/>
  <c r="D36" i="1"/>
  <c r="E33" i="1"/>
  <c r="E41" i="1"/>
  <c r="E31" i="1"/>
  <c r="C44" i="1"/>
  <c r="B7" i="1"/>
  <c r="D6" i="1" s="1"/>
  <c r="B9" i="1"/>
  <c r="B14" i="1" s="1"/>
  <c r="D4" i="1"/>
  <c r="D5" i="1"/>
  <c r="D10" i="1"/>
  <c r="D11" i="1"/>
  <c r="D12" i="1"/>
  <c r="D3" i="1"/>
  <c r="C14" i="1"/>
  <c r="D8" i="1" l="1"/>
  <c r="F6" i="1" s="1"/>
  <c r="D14" i="1"/>
</calcChain>
</file>

<file path=xl/sharedStrings.xml><?xml version="1.0" encoding="utf-8"?>
<sst xmlns="http://schemas.openxmlformats.org/spreadsheetml/2006/main" count="46" uniqueCount="33">
  <si>
    <t>Grundsteuer</t>
  </si>
  <si>
    <t>Abfallentsorgung</t>
  </si>
  <si>
    <t>Schutzwasser (Kanalbenutzung)</t>
  </si>
  <si>
    <t>Klarwerk</t>
  </si>
  <si>
    <t>Nierschlagwasser</t>
  </si>
  <si>
    <t>Wohunug</t>
  </si>
  <si>
    <t>x</t>
  </si>
  <si>
    <t>riool</t>
  </si>
  <si>
    <t>kanallgebrui</t>
  </si>
  <si>
    <t>Strassenreinigung</t>
  </si>
  <si>
    <t>Schmutzwasser 2020</t>
  </si>
  <si>
    <t>Klarwerk 2020</t>
  </si>
  <si>
    <t>Klarwerk extra (sehe 2021)</t>
  </si>
  <si>
    <t>Schmutzwasser extra (sehe 2021)</t>
  </si>
  <si>
    <t>Gas</t>
  </si>
  <si>
    <t>gartenpflege</t>
  </si>
  <si>
    <t>heizung wartung</t>
  </si>
  <si>
    <t>versicherung</t>
  </si>
  <si>
    <t>eddi24</t>
  </si>
  <si>
    <t>gas/electra</t>
  </si>
  <si>
    <t>brunat</t>
  </si>
  <si>
    <t>electra jhallen</t>
  </si>
  <si>
    <t>deichschau</t>
  </si>
  <si>
    <t>correctie</t>
  </si>
  <si>
    <t>Strom</t>
  </si>
  <si>
    <t>idem</t>
  </si>
  <si>
    <t>schorsteind</t>
  </si>
  <si>
    <t>GA</t>
  </si>
  <si>
    <t>WASSER</t>
  </si>
  <si>
    <t>EDDI24</t>
  </si>
  <si>
    <t>Heizung</t>
  </si>
  <si>
    <t>wartung</t>
  </si>
  <si>
    <t>Brunata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</si>
</sst>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F7FB-749A-4351-9362-FA95746CA8B2}">
  <dimension ref="A1:I52"/>
  <sheetViews>
    <sheetView tabSelected="1" topLeftCell="A17" workbookViewId="0">
      <selection activeCell="H32" sqref="H32"/>
    </sheetView>
  </sheetViews>
  <sheetFormatPr defaultRowHeight="14.4" x14ac:dyDescent="0.3"/>
  <cols>
    <col min="1" max="1" width="36" customWidth="1"/>
  </cols>
  <sheetData>
    <row r="1" spans="1:9" x14ac:dyDescent="0.3">
      <c r="A1">
        <v>2020</v>
      </c>
      <c r="H1">
        <v>2020</v>
      </c>
    </row>
    <row r="2" spans="1:9" x14ac:dyDescent="0.3">
      <c r="A2" t="s">
        <v>5</v>
      </c>
      <c r="B2">
        <v>25</v>
      </c>
      <c r="C2">
        <v>27</v>
      </c>
    </row>
    <row r="3" spans="1:9" x14ac:dyDescent="0.3">
      <c r="A3" t="s">
        <v>0</v>
      </c>
      <c r="B3">
        <v>856.37</v>
      </c>
      <c r="C3">
        <v>299.37</v>
      </c>
      <c r="D3" s="1">
        <f>B3+C3</f>
        <v>1155.74</v>
      </c>
      <c r="E3" t="s">
        <v>6</v>
      </c>
      <c r="H3" t="s">
        <v>14</v>
      </c>
      <c r="I3">
        <v>2566.34</v>
      </c>
    </row>
    <row r="4" spans="1:9" x14ac:dyDescent="0.3">
      <c r="A4" t="s">
        <v>1</v>
      </c>
      <c r="B4">
        <v>924.36</v>
      </c>
      <c r="C4">
        <v>387.84</v>
      </c>
      <c r="D4" s="1">
        <f t="shared" ref="D4:D14" si="0">B4+C4</f>
        <v>1312.2</v>
      </c>
      <c r="E4" t="s">
        <v>6</v>
      </c>
    </row>
    <row r="5" spans="1:9" x14ac:dyDescent="0.3">
      <c r="A5" t="s">
        <v>9</v>
      </c>
      <c r="B5">
        <v>24.96</v>
      </c>
      <c r="C5">
        <v>24.96</v>
      </c>
      <c r="D5" s="1">
        <f t="shared" si="0"/>
        <v>49.92</v>
      </c>
      <c r="E5" t="s">
        <v>6</v>
      </c>
    </row>
    <row r="6" spans="1:9" x14ac:dyDescent="0.3">
      <c r="A6" t="s">
        <v>2</v>
      </c>
      <c r="B6">
        <v>582.70000000000005</v>
      </c>
      <c r="D6" t="e">
        <f>B6+B7</f>
        <v>#VALUE!</v>
      </c>
      <c r="E6" t="s">
        <v>8</v>
      </c>
      <c r="F6" t="e">
        <f>D6+D8</f>
        <v>#VALUE!</v>
      </c>
    </row>
    <row r="7" spans="1:9" x14ac:dyDescent="0.3">
      <c r="A7" t="s">
        <v>13</v>
      </c>
      <c r="B7" t="str">
        <f>B25</f>
        <v>Schmutzwasser 2020</v>
      </c>
    </row>
    <row r="8" spans="1:9" x14ac:dyDescent="0.3">
      <c r="A8" t="s">
        <v>3</v>
      </c>
      <c r="B8">
        <v>713.95</v>
      </c>
      <c r="D8" t="e">
        <f>B8+B9</f>
        <v>#VALUE!</v>
      </c>
      <c r="E8" t="s">
        <v>7</v>
      </c>
    </row>
    <row r="9" spans="1:9" x14ac:dyDescent="0.3">
      <c r="A9" t="s">
        <v>12</v>
      </c>
      <c r="B9" t="str">
        <f>B26</f>
        <v>Klarwerk 2020</v>
      </c>
    </row>
    <row r="10" spans="1:9" x14ac:dyDescent="0.3">
      <c r="A10" t="s">
        <v>4</v>
      </c>
      <c r="B10">
        <v>83.82</v>
      </c>
      <c r="C10">
        <v>83.82</v>
      </c>
      <c r="D10">
        <f t="shared" si="0"/>
        <v>167.64</v>
      </c>
      <c r="E10" t="s">
        <v>6</v>
      </c>
    </row>
    <row r="11" spans="1:9" x14ac:dyDescent="0.3">
      <c r="A11">
        <v>2019</v>
      </c>
      <c r="B11">
        <v>11.66</v>
      </c>
      <c r="D11">
        <f t="shared" si="0"/>
        <v>11.66</v>
      </c>
    </row>
    <row r="12" spans="1:9" x14ac:dyDescent="0.3">
      <c r="A12">
        <v>2019</v>
      </c>
      <c r="B12">
        <v>14.41</v>
      </c>
      <c r="D12">
        <f t="shared" si="0"/>
        <v>14.41</v>
      </c>
    </row>
    <row r="14" spans="1:9" x14ac:dyDescent="0.3">
      <c r="B14">
        <f>SUM(B3:B12)</f>
        <v>3212.23</v>
      </c>
      <c r="C14">
        <f>SUM(C3:C12)</f>
        <v>795.99</v>
      </c>
      <c r="D14">
        <f t="shared" si="0"/>
        <v>4008.2200000000003</v>
      </c>
    </row>
    <row r="17" spans="1:8" x14ac:dyDescent="0.3">
      <c r="A17">
        <v>2021</v>
      </c>
    </row>
    <row r="18" spans="1:8" x14ac:dyDescent="0.3">
      <c r="B18" t="s">
        <v>5</v>
      </c>
      <c r="C18">
        <v>25</v>
      </c>
      <c r="D18">
        <v>27</v>
      </c>
    </row>
    <row r="19" spans="1:8" x14ac:dyDescent="0.3">
      <c r="A19" s="1">
        <v>1155.74</v>
      </c>
      <c r="B19" t="s">
        <v>0</v>
      </c>
      <c r="C19">
        <v>856.37</v>
      </c>
      <c r="D19">
        <v>299.37</v>
      </c>
      <c r="E19" s="1">
        <f>C19+D19</f>
        <v>1155.74</v>
      </c>
    </row>
    <row r="20" spans="1:8" x14ac:dyDescent="0.3">
      <c r="A20" s="1">
        <v>1312.2</v>
      </c>
      <c r="B20" t="s">
        <v>1</v>
      </c>
      <c r="C20">
        <v>924.36</v>
      </c>
      <c r="D20">
        <v>387.84</v>
      </c>
      <c r="E20" s="1">
        <f t="shared" ref="E20:E28" si="1">C20+D20</f>
        <v>1312.2</v>
      </c>
    </row>
    <row r="21" spans="1:8" x14ac:dyDescent="0.3">
      <c r="A21" s="1">
        <v>49.92</v>
      </c>
      <c r="B21" t="s">
        <v>9</v>
      </c>
      <c r="C21">
        <v>24.96</v>
      </c>
      <c r="D21">
        <v>24.96</v>
      </c>
      <c r="E21" s="1">
        <f t="shared" si="1"/>
        <v>49.92</v>
      </c>
    </row>
    <row r="22" spans="1:8" x14ac:dyDescent="0.3">
      <c r="A22" s="1">
        <v>1419.63</v>
      </c>
      <c r="B22" t="s">
        <v>2</v>
      </c>
      <c r="C22">
        <v>783.64</v>
      </c>
      <c r="E22" s="1">
        <f t="shared" si="1"/>
        <v>783.64</v>
      </c>
      <c r="F22" t="s">
        <v>8</v>
      </c>
      <c r="G22" s="1">
        <f>E22+E23+E25+E26</f>
        <v>1419.6299999999997</v>
      </c>
    </row>
    <row r="23" spans="1:8" x14ac:dyDescent="0.3">
      <c r="B23" t="s">
        <v>3</v>
      </c>
      <c r="C23">
        <v>572</v>
      </c>
      <c r="E23" s="1">
        <f t="shared" si="1"/>
        <v>572</v>
      </c>
      <c r="F23" t="s">
        <v>7</v>
      </c>
    </row>
    <row r="24" spans="1:8" x14ac:dyDescent="0.3">
      <c r="A24" s="1">
        <v>167.24</v>
      </c>
      <c r="B24" t="s">
        <v>4</v>
      </c>
      <c r="C24">
        <v>83.82</v>
      </c>
      <c r="D24">
        <v>83.82</v>
      </c>
      <c r="E24" s="1">
        <f t="shared" si="1"/>
        <v>167.64</v>
      </c>
    </row>
    <row r="25" spans="1:8" x14ac:dyDescent="0.3">
      <c r="B25" t="s">
        <v>10</v>
      </c>
      <c r="C25">
        <v>28.62</v>
      </c>
      <c r="E25" s="1">
        <f t="shared" si="1"/>
        <v>28.62</v>
      </c>
    </row>
    <row r="26" spans="1:8" x14ac:dyDescent="0.3">
      <c r="B26" t="s">
        <v>11</v>
      </c>
      <c r="C26">
        <v>35.369999999999997</v>
      </c>
      <c r="E26" s="1">
        <f t="shared" si="1"/>
        <v>35.369999999999997</v>
      </c>
    </row>
    <row r="28" spans="1:8" x14ac:dyDescent="0.3">
      <c r="C28">
        <f>SUM(C19:C26)</f>
        <v>3309.14</v>
      </c>
      <c r="D28">
        <f>SUM(D19:D26)</f>
        <v>795.99</v>
      </c>
    </row>
    <row r="30" spans="1:8" x14ac:dyDescent="0.3">
      <c r="D30" t="s">
        <v>23</v>
      </c>
    </row>
    <row r="31" spans="1:8" x14ac:dyDescent="0.3">
      <c r="A31" s="1">
        <v>902</v>
      </c>
      <c r="B31" t="s">
        <v>15</v>
      </c>
      <c r="C31">
        <v>902</v>
      </c>
      <c r="E31" s="1">
        <f>C31</f>
        <v>902</v>
      </c>
      <c r="G31" t="s">
        <v>30</v>
      </c>
    </row>
    <row r="32" spans="1:8" x14ac:dyDescent="0.3">
      <c r="B32" t="s">
        <v>16</v>
      </c>
      <c r="C32">
        <v>62.26</v>
      </c>
      <c r="E32" s="1"/>
      <c r="G32" t="s">
        <v>31</v>
      </c>
      <c r="H32">
        <v>62.26</v>
      </c>
    </row>
    <row r="33" spans="1:8" x14ac:dyDescent="0.3">
      <c r="A33" s="1">
        <v>1742.92</v>
      </c>
      <c r="B33" t="s">
        <v>17</v>
      </c>
      <c r="C33">
        <v>1742.92</v>
      </c>
      <c r="E33" s="1">
        <f t="shared" ref="E32:E41" si="2">C33</f>
        <v>1742.92</v>
      </c>
    </row>
    <row r="34" spans="1:8" x14ac:dyDescent="0.3">
      <c r="B34" t="s">
        <v>18</v>
      </c>
      <c r="C34">
        <v>249.28</v>
      </c>
      <c r="E34" s="1"/>
      <c r="G34" t="s">
        <v>29</v>
      </c>
      <c r="H34">
        <f>C34</f>
        <v>249.28</v>
      </c>
    </row>
    <row r="35" spans="1:8" x14ac:dyDescent="0.3">
      <c r="E35" s="1"/>
      <c r="G35" s="1" t="s">
        <v>14</v>
      </c>
      <c r="H35" s="1">
        <v>2568.34</v>
      </c>
    </row>
    <row r="36" spans="1:8" x14ac:dyDescent="0.3">
      <c r="B36" t="s">
        <v>19</v>
      </c>
      <c r="C36">
        <v>5318.57</v>
      </c>
      <c r="D36">
        <f>C36-E36</f>
        <v>5318.57</v>
      </c>
      <c r="G36" s="1" t="s">
        <v>24</v>
      </c>
      <c r="H36" s="1">
        <v>346.33</v>
      </c>
    </row>
    <row r="37" spans="1:8" x14ac:dyDescent="0.3">
      <c r="A37" s="1">
        <v>868.77</v>
      </c>
      <c r="B37" t="s">
        <v>28</v>
      </c>
      <c r="E37" s="1">
        <v>868.77</v>
      </c>
      <c r="H37" s="1"/>
    </row>
    <row r="38" spans="1:8" x14ac:dyDescent="0.3">
      <c r="B38" t="s">
        <v>20</v>
      </c>
      <c r="C38">
        <v>133.4</v>
      </c>
      <c r="E38" s="1"/>
      <c r="G38" t="s">
        <v>32</v>
      </c>
      <c r="H38" s="1">
        <v>133.4</v>
      </c>
    </row>
    <row r="39" spans="1:8" x14ac:dyDescent="0.3">
      <c r="A39" s="1">
        <v>419.85</v>
      </c>
      <c r="B39" t="s">
        <v>21</v>
      </c>
      <c r="C39">
        <v>359.65</v>
      </c>
      <c r="E39" s="1">
        <f>C39+C40</f>
        <v>419.65</v>
      </c>
    </row>
    <row r="40" spans="1:8" x14ac:dyDescent="0.3">
      <c r="B40" t="s">
        <v>25</v>
      </c>
      <c r="C40">
        <v>60</v>
      </c>
    </row>
    <row r="41" spans="1:8" x14ac:dyDescent="0.3">
      <c r="A41" s="1">
        <v>35.369999999999997</v>
      </c>
      <c r="B41" t="s">
        <v>22</v>
      </c>
      <c r="C41">
        <v>35.369999999999997</v>
      </c>
      <c r="E41" s="1">
        <f t="shared" si="2"/>
        <v>35.369999999999997</v>
      </c>
    </row>
    <row r="44" spans="1:8" x14ac:dyDescent="0.3">
      <c r="A44">
        <f>SUM(A19:A42)</f>
        <v>8073.64</v>
      </c>
      <c r="C44">
        <f>SUM(C31:C42)</f>
        <v>8863.4500000000007</v>
      </c>
      <c r="E44">
        <f>SUM(E18:E41)</f>
        <v>8073.8399999999992</v>
      </c>
      <c r="G44">
        <f>E44-A44</f>
        <v>0.19999999999890861</v>
      </c>
    </row>
    <row r="48" spans="1:8" x14ac:dyDescent="0.3">
      <c r="B48" t="s">
        <v>26</v>
      </c>
      <c r="E48">
        <v>58.88</v>
      </c>
    </row>
    <row r="50" spans="1:2" x14ac:dyDescent="0.3">
      <c r="B50">
        <v>8073.64</v>
      </c>
    </row>
    <row r="52" spans="1:2" x14ac:dyDescent="0.3">
      <c r="A52" t="s">
        <v>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Herbrand Hofker</dc:creator>
  <cp:lastModifiedBy>Herbrand Hofker</cp:lastModifiedBy>
  <dcterms:created xsi:type="dcterms:W3CDTF">2021-02-22T06:53:51Z</dcterms:created>
  <dcterms:modified xsi:type="dcterms:W3CDTF">2021-03-04T14:02:02Z</dcterms:modified>
</cp:coreProperties>
</file>